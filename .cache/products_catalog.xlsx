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xl/workbook.xml" Id="rId1" Type="http://schemas.openxmlformats.org/officeDocument/2006/relationships/officeDocument"/><Relationship Target="docProps/app.xml" Id="rId2" Type="http://schemas.openxmlformats.org/officeDocument/2006/relationships/extended-properties"/><Relationship Target="docProps/core.xml" Id="rId3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ZohoSheetWriter"/>
  <bookViews>
    <workbookView windowHeight="8192" windowWidth="16384"/>
  </bookViews>
  <sheets>
    <sheet name="Sheet1" r:id="rId1" sheetId="1"/>
    <sheet name="Hampers" r:id="rId2" sheetId="2"/>
  </sheets>
</workbook>
</file>

<file path=xl/sharedStrings.xml><?xml version="1.0" encoding="utf-8"?>
<sst xmlns="http://schemas.openxmlformats.org/spreadsheetml/2006/main" count="145" uniqueCount="145">
  <si>
    <t>Better for you Options</t>
  </si>
  <si>
    <t>DaD Selling price</t>
  </si>
  <si>
    <t>Rock bottom</t>
  </si>
  <si>
    <t>Tag</t>
  </si>
  <si>
    <t>Vendor</t>
  </si>
  <si>
    <t>Packaging</t>
  </si>
  <si>
    <t>Packaging Price</t>
  </si>
  <si>
    <t>Customisation</t>
  </si>
  <si>
    <t>Wholewheat Schezwan Vegetable Roll - Half</t>
  </si>
  <si>
    <t>Healthy - Savoury</t>
  </si>
  <si>
    <t>HealthyChef</t>
  </si>
  <si>
    <t>Box + tissue + ketchup</t>
  </si>
  <si>
    <t>No</t>
  </si>
  <si>
    <t>Wholewheat Veg Cheese Sandwich - Single</t>
  </si>
  <si>
    <t>Wholewheat Spinach and Corn Cheese Roll - Single</t>
  </si>
  <si>
    <t>Whole Wheat Vada Pav</t>
  </si>
  <si>
    <t>Baked Vegetable Samosa</t>
  </si>
  <si>
    <t>Baked Aloo Samosa</t>
  </si>
  <si>
    <t>Whole Wheat Paneer Tikka Sandwich - Single</t>
  </si>
  <si>
    <t>Whole Wheat Corn Cheese Sandwich - Single</t>
  </si>
  <si>
    <t>Wholewheat Mexican Patty Burger</t>
  </si>
  <si>
    <t>Wholewheat Vegetable Patty Burger</t>
  </si>
  <si>
    <t>Amaranth Patty Burger</t>
  </si>
  <si>
    <t>Vegetable Pizza(6 Inches)</t>
  </si>
  <si>
    <t>Whole Wheat Stuffed Masala Bun</t>
  </si>
  <si>
    <t>Whole wheat Stuffed Falafel Pita</t>
  </si>
  <si>
    <t>Wholewheat Chettinad Paneer Roll - Half</t>
  </si>
  <si>
    <t>Wholewheat Mughlai Paneer Roll - Half</t>
  </si>
  <si>
    <t>Samosa</t>
  </si>
  <si>
    <t>Savoury</t>
  </si>
  <si>
    <t>Cakewala RT Nagar</t>
  </si>
  <si>
    <t>Aloo Bun</t>
  </si>
  <si>
    <t>Veg Puff</t>
  </si>
  <si>
    <t>Andhra Khara Bun</t>
  </si>
  <si>
    <t>Fried Veg Roll</t>
  </si>
  <si>
    <t>Kulcha Bun</t>
  </si>
  <si>
    <t>Baby Corn Puff</t>
  </si>
  <si>
    <t>Cheese Pizza Muffin</t>
  </si>
  <si>
    <t>Gobi Masala Puff</t>
  </si>
  <si>
    <t>Pizza Muffin</t>
  </si>
  <si>
    <t>Mix Veg Sandwich</t>
  </si>
  <si>
    <t>Corn And Spinach Sandwich</t>
  </si>
  <si>
    <t>Aloo Dahi Puff</t>
  </si>
  <si>
    <t>Special Roll</t>
  </si>
  <si>
    <t>Chilli Panner Comb</t>
  </si>
  <si>
    <t>Veg Burger</t>
  </si>
  <si>
    <t>Veg Mushroom Puff</t>
  </si>
  <si>
    <t>Butter Garlic Bun</t>
  </si>
  <si>
    <t>Korean Bun</t>
  </si>
  <si>
    <t>Bombay Khari</t>
  </si>
  <si>
    <t>Cakewala Jayanagar</t>
  </si>
  <si>
    <t>Concus Pizza</t>
  </si>
  <si>
    <t>Baby Donut[Dark]</t>
  </si>
  <si>
    <t>Baby Donut[White]</t>
  </si>
  <si>
    <t>Mushroom Bun</t>
  </si>
  <si>
    <t>Black Channa Puff</t>
  </si>
  <si>
    <t>Channa Masala Puff</t>
  </si>
  <si>
    <t>Hot &amp; Spicy Peanut Bun</t>
  </si>
  <si>
    <t>Multigrain Masala Toast</t>
  </si>
  <si>
    <t>Veg Roll</t>
  </si>
  <si>
    <t>Paneer Bun</t>
  </si>
  <si>
    <t>Aloo Dhai Puff</t>
  </si>
  <si>
    <t>Multigrain Coselaw Sandwich</t>
  </si>
  <si>
    <t>Veg Keema Puff</t>
  </si>
  <si>
    <t>Veg Keema Samosa</t>
  </si>
  <si>
    <t>Chilli Paneer Comb</t>
  </si>
  <si>
    <t>Paneer Strudle</t>
  </si>
  <si>
    <t>Apple Pie</t>
  </si>
  <si>
    <t>outsourced Sweet</t>
  </si>
  <si>
    <t>Box + tissue</t>
  </si>
  <si>
    <t>Chocolate Sandwich</t>
  </si>
  <si>
    <t>Donut Burger</t>
  </si>
  <si>
    <t>Vanilla buttercream Cupcake</t>
  </si>
  <si>
    <t>In-house sweet</t>
  </si>
  <si>
    <t>Dream a Dozen</t>
  </si>
  <si>
    <t>Yes</t>
  </si>
  <si>
    <t>Blueberry Cupcake</t>
  </si>
  <si>
    <t>Chocolate buttercream Cupcake</t>
  </si>
  <si>
    <t>Chcolate truffle Cupcake</t>
  </si>
  <si>
    <t>Red velvet Cupcake</t>
  </si>
  <si>
    <t>Choco caramel Cupcake</t>
  </si>
  <si>
    <t>Theme cupcake (Pride, tricolour, Christmas etc)</t>
  </si>
  <si>
    <t>White Chocolate Disc with Edible Print</t>
  </si>
  <si>
    <t>Fudgy Walnut brownie</t>
  </si>
  <si>
    <t>Fudgy walnut brownie - mini</t>
  </si>
  <si>
    <t>Red velvet brownie - mini</t>
  </si>
  <si>
    <t>Chocolate cake pop</t>
  </si>
  <si>
    <t>Vanilla cake pop</t>
  </si>
  <si>
    <t>Chocolate Tart</t>
  </si>
  <si>
    <t>Frooti</t>
  </si>
  <si>
    <t>FMCG</t>
  </si>
  <si>
    <t>Outsourced</t>
  </si>
  <si>
    <t>Paper Boat - Swing</t>
  </si>
  <si>
    <t>Lays</t>
  </si>
  <si>
    <t>Maaza</t>
  </si>
  <si>
    <t>Category</t>
  </si>
  <si>
    <t>length</t>
  </si>
  <si>
    <t>breadth</t>
  </si>
  <si>
    <t>height</t>
  </si>
  <si>
    <t>LED tealight candle</t>
  </si>
  <si>
    <t>Besan Laddoo Cookies 100g</t>
  </si>
  <si>
    <t>Inside item</t>
  </si>
  <si>
    <t>Achari Aam Crackers 100g</t>
  </si>
  <si>
    <t>Rava Laddoo Cookies 100g</t>
  </si>
  <si>
    <t>Cheesy Chand Crunch 70g</t>
  </si>
  <si>
    <t>Baked Mathri 75g</t>
  </si>
  <si>
    <t>Pack of 2 (3x1x1.7 inch) chocolate</t>
  </si>
  <si>
    <t>Chocolate (pack of 4)</t>
  </si>
  <si>
    <t>Ajwain Cookies</t>
  </si>
  <si>
    <t>Truffle (pack of 9)</t>
  </si>
  <si>
    <t>Cinnamon hot chocolate</t>
  </si>
  <si>
    <t>Chocolate (2) + tea light candle (2)</t>
  </si>
  <si>
    <t>soy wax tea light (2)</t>
  </si>
  <si>
    <t>Farmley mixed nuts 21g</t>
  </si>
  <si>
    <t>Tealight candle (pack of 2)</t>
  </si>
  <si>
    <t>Elephants tea light holder</t>
  </si>
  <si>
    <t>Tote Bag</t>
  </si>
  <si>
    <t xml:space="preserve">MDF Tray 10x6 - 270/- </t>
  </si>
  <si>
    <t>Hamper box</t>
  </si>
  <si>
    <t>Small lamp</t>
  </si>
  <si>
    <t>Craft Lantern</t>
  </si>
  <si>
    <t>Tealight pack of 4</t>
  </si>
  <si>
    <t>11 x 4.5 x 2.5 inch box - bougenvilla</t>
  </si>
  <si>
    <t xml:space="preserve">13.5 x 7 x 3.5 inch box - blue </t>
  </si>
  <si>
    <t>10 x 10 x 3 w cavity - Jaipur palace</t>
  </si>
  <si>
    <t>10 x 10 x 3 w/o cavity - Jaipur palace</t>
  </si>
  <si>
    <t>10 x 10 x 3 - 9 inch</t>
  </si>
  <si>
    <t>Greeting Card</t>
  </si>
  <si>
    <t>Lotus Bowl</t>
  </si>
  <si>
    <t>Chocolate Bar</t>
  </si>
  <si>
    <t>Dry fruit 200g tin - almond</t>
  </si>
  <si>
    <t>Brass Lamp</t>
  </si>
  <si>
    <t>Phool incense cone</t>
  </si>
  <si>
    <t>Dry fruit 200g tin - cashew</t>
  </si>
  <si>
    <t>Dry fruit 200g tin - raisin</t>
  </si>
  <si>
    <t>Dry fruit 150g tin - nutty mix</t>
  </si>
  <si>
    <t>Dry fruit 150g tin - almond</t>
  </si>
  <si>
    <t>Dry fruit 200g tin - nutty mix</t>
  </si>
  <si>
    <t>Dry fruit 100g tin - nutty mix</t>
  </si>
  <si>
    <t>Besan small tin</t>
  </si>
  <si>
    <t>Gingerbread cookies</t>
  </si>
  <si>
    <t>Guntur Piri Piri</t>
  </si>
  <si>
    <t>Besan hexagon</t>
  </si>
  <si>
    <t>Rava Hexagon</t>
  </si>
  <si>
    <t>Achari Hexagon</t>
  </si>
</sst>
</file>

<file path=xl/styles.xml><?xml version="1.0" encoding="utf-8"?>
<styleSheet xmlns="http://schemas.openxmlformats.org/spreadsheetml/2006/main">
  <numFmts count="1">
    <numFmt formatCode="#0" numFmtId="164"/>
  </numFmts>
  <fonts count="6">
    <font>
      <sz val="10"/>
      <color theme="1"/>
      <name val="Roboto"/>
    </font>
    <font>
      <b/>
      <sz val="10"/>
      <color theme="1"/>
      <name val="Roboto"/>
    </font>
    <font>
      <b/>
      <sz val="10"/>
      <color theme="1"/>
      <name val="Roboto"/>
    </font>
    <font>
      <sz val="10"/>
      <color theme="1"/>
      <name val="Roboto"/>
    </font>
    <font>
      <sz val="10"/>
      <color theme="1"/>
      <name val="Roboto"/>
    </font>
    <font>
      <sz val="10"/>
      <color theme="1"/>
      <name val="Roboto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borderId="0" fillId="0" fontId="0" numFmtId="0" xfId="0">
      <alignment vertical="top"/>
    </xf>
  </cellStyleXfs>
  <cellXfs count="19">
    <xf borderId="0" fillId="0" fontId="0" numFmtId="0" xfId="0">
      <alignment vertical="top"/>
    </xf>
    <xf borderId="0" fillId="0" fontId="0" numFmtId="0" xfId="0">
      <alignment horizontal="center" vertical="top"/>
    </xf>
    <xf borderId="1" fillId="2" fontId="1" numFmtId="0" xfId="0">
      <alignment horizontal="center" vertical="top" wrapText="1"/>
    </xf>
    <xf borderId="2" fillId="2" fontId="1" numFmtId="0" xfId="0">
      <alignment horizontal="center" vertical="top" wrapText="1"/>
    </xf>
    <xf borderId="1" fillId="2" fontId="2" numFmtId="0" xfId="0">
      <alignment horizontal="center" vertical="top"/>
    </xf>
    <xf borderId="1" fillId="0" fontId="3" numFmtId="0" xfId="0">
      <alignment horizontal="center" vertical="top" wrapText="1"/>
    </xf>
    <xf borderId="2" fillId="0" fontId="3" numFmtId="0" xfId="0">
      <alignment horizontal="center" vertical="top" wrapText="1"/>
    </xf>
    <xf borderId="1" fillId="0" fontId="0" numFmtId="0" xfId="0">
      <alignment horizontal="center" vertical="top"/>
    </xf>
    <xf borderId="3" fillId="0" fontId="3" numFmtId="0" xfId="0">
      <alignment horizontal="center" vertical="top" wrapText="1"/>
    </xf>
    <xf borderId="4" fillId="0" fontId="3" numFmtId="0" xfId="0">
      <alignment horizontal="center" vertical="top" wrapText="1"/>
    </xf>
    <xf borderId="1" fillId="0" fontId="4" numFmtId="0" xfId="0">
      <alignment horizontal="center" vertical="top"/>
    </xf>
    <xf borderId="1" fillId="0" fontId="0" numFmtId="164" xfId="0">
      <alignment horizontal="center" vertical="top"/>
    </xf>
    <xf borderId="2" fillId="0" fontId="0" numFmtId="0" xfId="0">
      <alignment horizontal="center" vertical="top"/>
    </xf>
    <xf borderId="1" fillId="0" fontId="0" numFmtId="164" xfId="0">
      <alignment horizontal="center" vertical="top" wrapText="1"/>
    </xf>
    <xf borderId="1" fillId="0" fontId="4" numFmtId="0" xfId="0">
      <alignment horizontal="center" vertical="top" wrapText="1"/>
    </xf>
    <xf borderId="3" fillId="0" fontId="0" numFmtId="0" xfId="0">
      <alignment horizontal="center" vertical="top"/>
    </xf>
    <xf borderId="3" fillId="0" fontId="0" numFmtId="164" xfId="0">
      <alignment horizontal="center" vertical="top"/>
    </xf>
    <xf borderId="4" fillId="0" fontId="0" numFmtId="0" xfId="0">
      <alignment horizontal="center" vertical="top"/>
    </xf>
    <xf borderId="0" fillId="0" fontId="5" numFmtId="0" xfId="0">
      <alignment vertical="top"/>
    </xf>
  </cellXfs>
  <cellStyles count="1">
    <cellStyle name="Normal" xfId="0" builtinId="0" customBuiltin="1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Id="rId1" Type="http://schemas.openxmlformats.org/officeDocument/2006/relationships/worksheet"/><Relationship Target="worksheets/sheet2.xml" Id="rId2" Type="http://schemas.openxmlformats.org/officeDocument/2006/relationships/worksheet"/><Relationship Target="sharedStrings.xml" Id="rId3" Type="http://schemas.openxmlformats.org/officeDocument/2006/relationships/sharedStrings"/><Relationship Target="styles.xml" Id="rId4" Type="http://schemas.openxmlformats.org/officeDocument/2006/relationships/styles"/><Relationship Target="theme/theme1.xml" Id="rId5" Type="http://schemas.openxmlformats.org/officeDocument/2006/relationships/theme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3C4F63"/>
      </a:dk2>
      <a:lt2>
        <a:srgbClr val="F4F6F6"/>
      </a:lt2>
      <a:accent1>
        <a:srgbClr val="3498DB"/>
      </a:accent1>
      <a:accent2>
        <a:srgbClr val="2ECC71"/>
      </a:accent2>
      <a:accent3>
        <a:srgbClr val="F1C40F"/>
      </a:accent3>
      <a:accent4>
        <a:srgbClr val="E67622"/>
      </a:accent4>
      <a:accent5>
        <a:srgbClr val="EE4675"/>
      </a:accent5>
      <a:accent6>
        <a:srgbClr val="9B59B6"/>
      </a:accent6>
      <a:hlink>
        <a:srgbClr val="185C8A"/>
      </a:hlink>
      <a:folHlink>
        <a:srgbClr val="3A62C8"/>
      </a:folHlink>
    </a:clrScheme>
    <a:fontScheme name="Office">
      <a:majorFont>
        <a:latin typeface="Roboto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Roboto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H83"/>
  <sheetViews>
    <sheetView workbookViewId="0"/>
  </sheetViews>
  <sheetFormatPr defaultRowHeight="14.0" customHeight="1"/>
  <cols>
    <col min="1" max="1" style="1" width="29.28"/>
    <col min="2" max="2" style="1" width="14.57"/>
    <col min="3" max="4" style="1" width="15.63"/>
    <col min="5" max="5" style="1" width="22.25"/>
    <col min="6" max="6" style="1" width="21.86"/>
    <col min="7" max="2048" style="1" width="13.24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 t="s">
        <v>5</v>
      </c>
      <c r="G1" s="4" t="s">
        <v>6</v>
      </c>
      <c r="H1" s="4" t="s">
        <v>7</v>
      </c>
    </row>
    <row r="2" ht="27.0">
      <c r="A2" s="5" t="s">
        <v>8</v>
      </c>
      <c r="B2" s="5">
        <f t="shared" ref="B2:B9" si="0">80*1.1</f>
        <v>88.0</v>
      </c>
      <c r="C2" s="5">
        <f t="shared" ref="C2:C65" si="1">B2/1.1</f>
        <v>80.0</v>
      </c>
      <c r="D2" s="5" t="s">
        <v>9</v>
      </c>
      <c r="E2" s="6" t="s">
        <v>10</v>
      </c>
      <c r="F2" s="7" t="s">
        <v>11</v>
      </c>
      <c r="G2" s="7">
        <v>20.0</v>
      </c>
      <c r="H2" s="7" t="s">
        <v>12</v>
      </c>
    </row>
    <row r="3" ht="27.0">
      <c r="A3" s="5" t="s">
        <v>13</v>
      </c>
      <c r="B3" s="5">
        <f t="shared" si="0"/>
        <v>88.0</v>
      </c>
      <c r="C3" s="5">
        <f t="shared" si="1"/>
        <v>80.0</v>
      </c>
      <c r="D3" s="5" t="s">
        <v>9</v>
      </c>
      <c r="E3" s="6" t="s">
        <v>10</v>
      </c>
      <c r="F3" s="7" t="s">
        <v>11</v>
      </c>
      <c r="G3" s="7">
        <v>20.0</v>
      </c>
      <c r="H3" s="7" t="s">
        <v>12</v>
      </c>
    </row>
    <row r="4" ht="27.0">
      <c r="A4" s="5" t="s">
        <v>14</v>
      </c>
      <c r="B4" s="5">
        <f t="shared" si="0"/>
        <v>88.0</v>
      </c>
      <c r="C4" s="5">
        <f t="shared" si="1"/>
        <v>80.0</v>
      </c>
      <c r="D4" s="5" t="s">
        <v>9</v>
      </c>
      <c r="E4" s="6" t="s">
        <v>10</v>
      </c>
      <c r="F4" s="7" t="s">
        <v>11</v>
      </c>
      <c r="G4" s="7">
        <v>20.0</v>
      </c>
      <c r="H4" s="7" t="s">
        <v>12</v>
      </c>
    </row>
    <row r="5">
      <c r="A5" s="5" t="s">
        <v>15</v>
      </c>
      <c r="B5" s="5">
        <f t="shared" si="0"/>
        <v>88.0</v>
      </c>
      <c r="C5" s="5">
        <f t="shared" si="1"/>
        <v>80.0</v>
      </c>
      <c r="D5" s="5" t="s">
        <v>9</v>
      </c>
      <c r="E5" s="6" t="s">
        <v>10</v>
      </c>
      <c r="F5" s="7" t="s">
        <v>11</v>
      </c>
      <c r="G5" s="7">
        <v>20.0</v>
      </c>
      <c r="H5" s="7" t="s">
        <v>12</v>
      </c>
    </row>
    <row r="6">
      <c r="A6" s="5" t="s">
        <v>16</v>
      </c>
      <c r="B6" s="5">
        <f t="shared" si="0"/>
        <v>88.0</v>
      </c>
      <c r="C6" s="5">
        <f t="shared" si="1"/>
        <v>80.0</v>
      </c>
      <c r="D6" s="5" t="s">
        <v>9</v>
      </c>
      <c r="E6" s="6" t="s">
        <v>10</v>
      </c>
      <c r="F6" s="7" t="s">
        <v>11</v>
      </c>
      <c r="G6" s="7">
        <v>20.0</v>
      </c>
      <c r="H6" s="7" t="s">
        <v>12</v>
      </c>
    </row>
    <row r="7">
      <c r="A7" s="5" t="s">
        <v>17</v>
      </c>
      <c r="B7" s="5">
        <f t="shared" si="0"/>
        <v>88.0</v>
      </c>
      <c r="C7" s="5">
        <f t="shared" si="1"/>
        <v>80.0</v>
      </c>
      <c r="D7" s="5" t="s">
        <v>9</v>
      </c>
      <c r="E7" s="6" t="s">
        <v>10</v>
      </c>
      <c r="F7" s="7" t="s">
        <v>11</v>
      </c>
      <c r="G7" s="7">
        <v>20.0</v>
      </c>
      <c r="H7" s="7" t="s">
        <v>12</v>
      </c>
    </row>
    <row r="8" ht="27.0">
      <c r="A8" s="5" t="s">
        <v>18</v>
      </c>
      <c r="B8" s="5">
        <f t="shared" si="0"/>
        <v>88.0</v>
      </c>
      <c r="C8" s="5">
        <f t="shared" si="1"/>
        <v>80.0</v>
      </c>
      <c r="D8" s="5" t="s">
        <v>9</v>
      </c>
      <c r="E8" s="6" t="s">
        <v>10</v>
      </c>
      <c r="F8" s="7" t="s">
        <v>11</v>
      </c>
      <c r="G8" s="7">
        <v>20.0</v>
      </c>
      <c r="H8" s="7" t="s">
        <v>12</v>
      </c>
    </row>
    <row r="9" ht="27.0">
      <c r="A9" s="5" t="s">
        <v>19</v>
      </c>
      <c r="B9" s="5">
        <f t="shared" si="0"/>
        <v>88.0</v>
      </c>
      <c r="C9" s="5">
        <f t="shared" si="1"/>
        <v>80.0</v>
      </c>
      <c r="D9" s="5" t="s">
        <v>9</v>
      </c>
      <c r="E9" s="6" t="s">
        <v>10</v>
      </c>
      <c r="F9" s="7" t="s">
        <v>11</v>
      </c>
      <c r="G9" s="7">
        <v>20.0</v>
      </c>
      <c r="H9" s="7" t="s">
        <v>12</v>
      </c>
    </row>
    <row r="10">
      <c r="A10" s="5" t="s">
        <v>20</v>
      </c>
      <c r="B10" s="5">
        <f t="shared" ref="B10:B17" si="2">160*1.1</f>
        <v>176.0</v>
      </c>
      <c r="C10" s="5">
        <f t="shared" si="1"/>
        <v>160.0</v>
      </c>
      <c r="D10" s="5" t="s">
        <v>9</v>
      </c>
      <c r="E10" s="6" t="s">
        <v>10</v>
      </c>
      <c r="F10" s="7" t="s">
        <v>11</v>
      </c>
      <c r="G10" s="7">
        <v>20.0</v>
      </c>
      <c r="H10" s="7" t="s">
        <v>12</v>
      </c>
    </row>
    <row r="11">
      <c r="A11" s="5" t="s">
        <v>21</v>
      </c>
      <c r="B11" s="5">
        <f t="shared" si="2"/>
        <v>176.0</v>
      </c>
      <c r="C11" s="5">
        <f t="shared" si="1"/>
        <v>160.0</v>
      </c>
      <c r="D11" s="5" t="s">
        <v>9</v>
      </c>
      <c r="E11" s="6" t="s">
        <v>10</v>
      </c>
      <c r="F11" s="7" t="s">
        <v>11</v>
      </c>
      <c r="G11" s="7">
        <v>20.0</v>
      </c>
      <c r="H11" s="7" t="s">
        <v>12</v>
      </c>
    </row>
    <row r="12">
      <c r="A12" s="5" t="s">
        <v>22</v>
      </c>
      <c r="B12" s="5">
        <f t="shared" si="2"/>
        <v>176.0</v>
      </c>
      <c r="C12" s="5">
        <f t="shared" si="1"/>
        <v>160.0</v>
      </c>
      <c r="D12" s="5" t="s">
        <v>9</v>
      </c>
      <c r="E12" s="6" t="s">
        <v>10</v>
      </c>
      <c r="F12" s="7" t="s">
        <v>11</v>
      </c>
      <c r="G12" s="7">
        <v>20.0</v>
      </c>
      <c r="H12" s="7" t="s">
        <v>12</v>
      </c>
    </row>
    <row r="13">
      <c r="A13" s="5" t="s">
        <v>23</v>
      </c>
      <c r="B13" s="5">
        <f t="shared" si="2"/>
        <v>176.0</v>
      </c>
      <c r="C13" s="5">
        <f t="shared" si="1"/>
        <v>160.0</v>
      </c>
      <c r="D13" s="5" t="s">
        <v>9</v>
      </c>
      <c r="E13" s="6" t="s">
        <v>10</v>
      </c>
      <c r="F13" s="7" t="s">
        <v>11</v>
      </c>
      <c r="G13" s="7">
        <v>20.0</v>
      </c>
      <c r="H13" s="7" t="s">
        <v>12</v>
      </c>
    </row>
    <row r="14">
      <c r="A14" s="5" t="s">
        <v>24</v>
      </c>
      <c r="B14" s="5">
        <f t="shared" si="2"/>
        <v>176.0</v>
      </c>
      <c r="C14" s="5">
        <f t="shared" si="1"/>
        <v>160.0</v>
      </c>
      <c r="D14" s="5" t="s">
        <v>9</v>
      </c>
      <c r="E14" s="6" t="s">
        <v>10</v>
      </c>
      <c r="F14" s="7" t="s">
        <v>11</v>
      </c>
      <c r="G14" s="7">
        <v>20.0</v>
      </c>
      <c r="H14" s="7" t="s">
        <v>12</v>
      </c>
    </row>
    <row r="15">
      <c r="A15" s="5" t="s">
        <v>25</v>
      </c>
      <c r="B15" s="5">
        <f t="shared" si="2"/>
        <v>176.0</v>
      </c>
      <c r="C15" s="5">
        <f t="shared" si="1"/>
        <v>160.0</v>
      </c>
      <c r="D15" s="5" t="s">
        <v>9</v>
      </c>
      <c r="E15" s="6" t="s">
        <v>10</v>
      </c>
      <c r="F15" s="7" t="s">
        <v>11</v>
      </c>
      <c r="G15" s="7">
        <v>20.0</v>
      </c>
      <c r="H15" s="7" t="s">
        <v>12</v>
      </c>
    </row>
    <row r="16" ht="27.0">
      <c r="A16" s="5" t="s">
        <v>26</v>
      </c>
      <c r="B16" s="5">
        <f t="shared" si="2"/>
        <v>176.0</v>
      </c>
      <c r="C16" s="5">
        <f t="shared" si="1"/>
        <v>160.0</v>
      </c>
      <c r="D16" s="5" t="s">
        <v>9</v>
      </c>
      <c r="E16" s="6" t="s">
        <v>10</v>
      </c>
      <c r="F16" s="7" t="s">
        <v>11</v>
      </c>
      <c r="G16" s="7">
        <v>20.0</v>
      </c>
      <c r="H16" s="7" t="s">
        <v>12</v>
      </c>
    </row>
    <row r="17" ht="27.0">
      <c r="A17" s="5" t="s">
        <v>27</v>
      </c>
      <c r="B17" s="5">
        <f t="shared" si="2"/>
        <v>176.0</v>
      </c>
      <c r="C17" s="5">
        <f t="shared" si="1"/>
        <v>160.0</v>
      </c>
      <c r="D17" s="5" t="s">
        <v>9</v>
      </c>
      <c r="E17" s="6" t="s">
        <v>10</v>
      </c>
      <c r="F17" s="7" t="s">
        <v>11</v>
      </c>
      <c r="G17" s="7">
        <v>20.0</v>
      </c>
      <c r="H17" s="7" t="s">
        <v>12</v>
      </c>
    </row>
    <row r="18">
      <c r="A18" s="5" t="s">
        <v>28</v>
      </c>
      <c r="B18" s="5">
        <f>26*1.1</f>
        <v>28.6</v>
      </c>
      <c r="C18" s="5">
        <f t="shared" si="1"/>
        <v>26.0</v>
      </c>
      <c r="D18" s="5" t="s">
        <v>29</v>
      </c>
      <c r="E18" s="6" t="s">
        <v>30</v>
      </c>
      <c r="F18" s="7" t="s">
        <v>11</v>
      </c>
      <c r="G18" s="7">
        <v>20.0</v>
      </c>
      <c r="H18" s="7" t="s">
        <v>12</v>
      </c>
    </row>
    <row r="19">
      <c r="A19" s="5" t="s">
        <v>31</v>
      </c>
      <c r="B19" s="5">
        <f t="shared" ref="B19:B20" si="4">44*1.1</f>
        <v>48.4</v>
      </c>
      <c r="C19" s="5">
        <f t="shared" si="1"/>
        <v>44.0</v>
      </c>
      <c r="D19" s="5" t="s">
        <v>29</v>
      </c>
      <c r="E19" s="6" t="s">
        <v>30</v>
      </c>
      <c r="F19" s="7" t="s">
        <v>11</v>
      </c>
      <c r="G19" s="7">
        <v>20.0</v>
      </c>
      <c r="H19" s="7" t="s">
        <v>12</v>
      </c>
    </row>
    <row r="20">
      <c r="A20" s="5" t="s">
        <v>32</v>
      </c>
      <c r="B20" s="5">
        <f t="shared" si="4"/>
        <v>48.4</v>
      </c>
      <c r="C20" s="5">
        <f t="shared" si="1"/>
        <v>44.0</v>
      </c>
      <c r="D20" s="5" t="s">
        <v>29</v>
      </c>
      <c r="E20" s="6" t="s">
        <v>30</v>
      </c>
      <c r="F20" s="7" t="s">
        <v>11</v>
      </c>
      <c r="G20" s="7">
        <v>20.0</v>
      </c>
      <c r="H20" s="7" t="s">
        <v>12</v>
      </c>
    </row>
    <row r="21">
      <c r="A21" s="5" t="s">
        <v>33</v>
      </c>
      <c r="B21" s="5">
        <f t="shared" ref="B21:B23" si="5">54*1.1</f>
        <v>59.4</v>
      </c>
      <c r="C21" s="5">
        <f t="shared" si="1"/>
        <v>54.0</v>
      </c>
      <c r="D21" s="5" t="s">
        <v>29</v>
      </c>
      <c r="E21" s="6" t="s">
        <v>30</v>
      </c>
      <c r="F21" s="7" t="s">
        <v>11</v>
      </c>
      <c r="G21" s="7">
        <v>20.0</v>
      </c>
      <c r="H21" s="7" t="s">
        <v>12</v>
      </c>
    </row>
    <row r="22">
      <c r="A22" s="5" t="s">
        <v>34</v>
      </c>
      <c r="B22" s="5">
        <f t="shared" si="5"/>
        <v>59.4</v>
      </c>
      <c r="C22" s="5">
        <f t="shared" si="1"/>
        <v>54.0</v>
      </c>
      <c r="D22" s="5" t="s">
        <v>29</v>
      </c>
      <c r="E22" s="6" t="s">
        <v>30</v>
      </c>
      <c r="F22" s="7" t="s">
        <v>11</v>
      </c>
      <c r="G22" s="7">
        <v>20.0</v>
      </c>
      <c r="H22" s="7" t="s">
        <v>12</v>
      </c>
    </row>
    <row r="23">
      <c r="A23" s="5" t="s">
        <v>35</v>
      </c>
      <c r="B23" s="5">
        <f t="shared" si="5"/>
        <v>59.4</v>
      </c>
      <c r="C23" s="5">
        <f t="shared" si="1"/>
        <v>54.0</v>
      </c>
      <c r="D23" s="5" t="s">
        <v>29</v>
      </c>
      <c r="E23" s="6" t="s">
        <v>30</v>
      </c>
      <c r="F23" s="7" t="s">
        <v>11</v>
      </c>
      <c r="G23" s="7">
        <v>20.0</v>
      </c>
      <c r="H23" s="7" t="s">
        <v>12</v>
      </c>
    </row>
    <row r="24">
      <c r="A24" s="5" t="s">
        <v>36</v>
      </c>
      <c r="B24" s="5">
        <f t="shared" ref="B24:B27" si="6">62*1.1</f>
        <v>68.2</v>
      </c>
      <c r="C24" s="5">
        <f t="shared" si="1"/>
        <v>62.0</v>
      </c>
      <c r="D24" s="5" t="s">
        <v>29</v>
      </c>
      <c r="E24" s="6" t="s">
        <v>30</v>
      </c>
      <c r="F24" s="7" t="s">
        <v>11</v>
      </c>
      <c r="G24" s="7">
        <v>20.0</v>
      </c>
      <c r="H24" s="7" t="s">
        <v>12</v>
      </c>
    </row>
    <row r="25">
      <c r="A25" s="5" t="s">
        <v>37</v>
      </c>
      <c r="B25" s="5">
        <f t="shared" si="6"/>
        <v>68.2</v>
      </c>
      <c r="C25" s="5">
        <f t="shared" si="1"/>
        <v>62.0</v>
      </c>
      <c r="D25" s="5" t="s">
        <v>29</v>
      </c>
      <c r="E25" s="6" t="s">
        <v>30</v>
      </c>
      <c r="F25" s="7" t="s">
        <v>11</v>
      </c>
      <c r="G25" s="7">
        <v>20.0</v>
      </c>
      <c r="H25" s="7" t="s">
        <v>12</v>
      </c>
    </row>
    <row r="26">
      <c r="A26" s="5" t="s">
        <v>38</v>
      </c>
      <c r="B26" s="5">
        <f t="shared" si="6"/>
        <v>68.2</v>
      </c>
      <c r="C26" s="5">
        <f t="shared" si="1"/>
        <v>62.0</v>
      </c>
      <c r="D26" s="5" t="s">
        <v>29</v>
      </c>
      <c r="E26" s="6" t="s">
        <v>30</v>
      </c>
      <c r="F26" s="7" t="s">
        <v>11</v>
      </c>
      <c r="G26" s="7">
        <v>20.0</v>
      </c>
      <c r="H26" s="7" t="s">
        <v>12</v>
      </c>
    </row>
    <row r="27">
      <c r="A27" s="5" t="s">
        <v>39</v>
      </c>
      <c r="B27" s="5">
        <f t="shared" si="6"/>
        <v>68.2</v>
      </c>
      <c r="C27" s="5">
        <f t="shared" si="1"/>
        <v>62.0</v>
      </c>
      <c r="D27" s="5" t="s">
        <v>29</v>
      </c>
      <c r="E27" s="6" t="s">
        <v>30</v>
      </c>
      <c r="F27" s="7" t="s">
        <v>11</v>
      </c>
      <c r="G27" s="7">
        <v>20.0</v>
      </c>
      <c r="H27" s="7" t="s">
        <v>12</v>
      </c>
    </row>
    <row r="28">
      <c r="A28" s="5" t="s">
        <v>40</v>
      </c>
      <c r="B28" s="5">
        <f t="shared" ref="B28:B29" si="7">70*1.1</f>
        <v>77.0</v>
      </c>
      <c r="C28" s="5">
        <f t="shared" si="1"/>
        <v>70.0</v>
      </c>
      <c r="D28" s="5" t="s">
        <v>29</v>
      </c>
      <c r="E28" s="6" t="s">
        <v>30</v>
      </c>
      <c r="F28" s="7" t="s">
        <v>11</v>
      </c>
      <c r="G28" s="7">
        <v>20.0</v>
      </c>
      <c r="H28" s="7" t="s">
        <v>12</v>
      </c>
    </row>
    <row r="29">
      <c r="A29" s="5" t="s">
        <v>41</v>
      </c>
      <c r="B29" s="5">
        <f t="shared" si="7"/>
        <v>77.0</v>
      </c>
      <c r="C29" s="5">
        <f t="shared" si="1"/>
        <v>70.0</v>
      </c>
      <c r="D29" s="5" t="s">
        <v>29</v>
      </c>
      <c r="E29" s="6" t="s">
        <v>30</v>
      </c>
      <c r="F29" s="7" t="s">
        <v>11</v>
      </c>
      <c r="G29" s="7">
        <v>20.0</v>
      </c>
      <c r="H29" s="7" t="s">
        <v>12</v>
      </c>
    </row>
    <row r="30">
      <c r="A30" s="5" t="s">
        <v>42</v>
      </c>
      <c r="B30" s="5">
        <f t="shared" ref="B30:B31" si="8">72*1.1</f>
        <v>79.2</v>
      </c>
      <c r="C30" s="5">
        <f t="shared" si="1"/>
        <v>72.0</v>
      </c>
      <c r="D30" s="5" t="s">
        <v>29</v>
      </c>
      <c r="E30" s="6" t="s">
        <v>30</v>
      </c>
      <c r="F30" s="7" t="s">
        <v>11</v>
      </c>
      <c r="G30" s="7">
        <v>20.0</v>
      </c>
      <c r="H30" s="7" t="s">
        <v>12</v>
      </c>
    </row>
    <row r="31">
      <c r="A31" s="5" t="s">
        <v>43</v>
      </c>
      <c r="B31" s="5">
        <f t="shared" si="8"/>
        <v>79.2</v>
      </c>
      <c r="C31" s="5">
        <f t="shared" si="1"/>
        <v>72.0</v>
      </c>
      <c r="D31" s="5" t="s">
        <v>29</v>
      </c>
      <c r="E31" s="6" t="s">
        <v>30</v>
      </c>
      <c r="F31" s="7" t="s">
        <v>11</v>
      </c>
      <c r="G31" s="7">
        <v>20.0</v>
      </c>
      <c r="H31" s="7" t="s">
        <v>12</v>
      </c>
    </row>
    <row r="32">
      <c r="A32" s="5" t="s">
        <v>44</v>
      </c>
      <c r="B32" s="5">
        <f t="shared" ref="B32:B33" si="9">80*1.1</f>
        <v>88.0</v>
      </c>
      <c r="C32" s="5">
        <f t="shared" si="1"/>
        <v>80.0</v>
      </c>
      <c r="D32" s="5" t="s">
        <v>29</v>
      </c>
      <c r="E32" s="6" t="s">
        <v>30</v>
      </c>
      <c r="F32" s="7" t="s">
        <v>11</v>
      </c>
      <c r="G32" s="7">
        <v>20.0</v>
      </c>
      <c r="H32" s="7" t="s">
        <v>12</v>
      </c>
    </row>
    <row r="33">
      <c r="A33" s="5" t="s">
        <v>45</v>
      </c>
      <c r="B33" s="5">
        <f t="shared" si="9"/>
        <v>88.0</v>
      </c>
      <c r="C33" s="5">
        <f t="shared" si="1"/>
        <v>80.0</v>
      </c>
      <c r="D33" s="5" t="s">
        <v>29</v>
      </c>
      <c r="E33" s="6" t="s">
        <v>30</v>
      </c>
      <c r="F33" s="7" t="s">
        <v>11</v>
      </c>
      <c r="G33" s="7">
        <v>20.0</v>
      </c>
      <c r="H33" s="7" t="s">
        <v>12</v>
      </c>
    </row>
    <row r="34">
      <c r="A34" s="5" t="s">
        <v>46</v>
      </c>
      <c r="B34" s="5">
        <f>82*1.1</f>
        <v>90.2</v>
      </c>
      <c r="C34" s="5">
        <f t="shared" si="1"/>
        <v>82.0</v>
      </c>
      <c r="D34" s="5" t="s">
        <v>29</v>
      </c>
      <c r="E34" s="6" t="s">
        <v>30</v>
      </c>
      <c r="F34" s="7" t="s">
        <v>11</v>
      </c>
      <c r="G34" s="7">
        <v>20.0</v>
      </c>
      <c r="H34" s="7" t="s">
        <v>12</v>
      </c>
    </row>
    <row r="35">
      <c r="A35" s="5" t="s">
        <v>47</v>
      </c>
      <c r="B35" s="5">
        <f>88*1.1</f>
        <v>96.8</v>
      </c>
      <c r="C35" s="5">
        <f t="shared" si="1"/>
        <v>88.0</v>
      </c>
      <c r="D35" s="5" t="s">
        <v>29</v>
      </c>
      <c r="E35" s="6" t="s">
        <v>30</v>
      </c>
      <c r="F35" s="7" t="s">
        <v>11</v>
      </c>
      <c r="G35" s="7">
        <v>20.0</v>
      </c>
      <c r="H35" s="7" t="s">
        <v>12</v>
      </c>
    </row>
    <row r="36">
      <c r="A36" s="5" t="s">
        <v>48</v>
      </c>
      <c r="B36" s="5">
        <f>106*1.1</f>
        <v>116.6</v>
      </c>
      <c r="C36" s="5">
        <f t="shared" si="1"/>
        <v>106.0</v>
      </c>
      <c r="D36" s="5" t="s">
        <v>29</v>
      </c>
      <c r="E36" s="6" t="s">
        <v>30</v>
      </c>
      <c r="F36" s="7" t="s">
        <v>11</v>
      </c>
      <c r="G36" s="7">
        <v>20.0</v>
      </c>
      <c r="H36" s="7" t="s">
        <v>12</v>
      </c>
    </row>
    <row r="37">
      <c r="A37" s="5" t="s">
        <v>49</v>
      </c>
      <c r="B37" s="5">
        <f>20*1.1</f>
        <v>22.0</v>
      </c>
      <c r="C37" s="5">
        <f t="shared" si="1"/>
        <v>20.0</v>
      </c>
      <c r="D37" s="5" t="s">
        <v>29</v>
      </c>
      <c r="E37" s="6" t="s">
        <v>50</v>
      </c>
      <c r="F37" s="7" t="s">
        <v>11</v>
      </c>
      <c r="G37" s="7">
        <v>20.0</v>
      </c>
      <c r="H37" s="7" t="s">
        <v>12</v>
      </c>
    </row>
    <row r="38">
      <c r="A38" s="5" t="s">
        <v>31</v>
      </c>
      <c r="B38" s="5">
        <f t="shared" ref="B38:B40" si="14">50*1.1</f>
        <v>55.0</v>
      </c>
      <c r="C38" s="5">
        <f t="shared" si="1"/>
        <v>50.0</v>
      </c>
      <c r="D38" s="5" t="s">
        <v>29</v>
      </c>
      <c r="E38" s="6" t="s">
        <v>50</v>
      </c>
      <c r="F38" s="7" t="s">
        <v>11</v>
      </c>
      <c r="G38" s="7">
        <v>20.0</v>
      </c>
      <c r="H38" s="7" t="s">
        <v>12</v>
      </c>
    </row>
    <row r="39">
      <c r="A39" s="5" t="s">
        <v>51</v>
      </c>
      <c r="B39" s="5">
        <f t="shared" si="14"/>
        <v>55.0</v>
      </c>
      <c r="C39" s="5">
        <f t="shared" si="1"/>
        <v>50.0</v>
      </c>
      <c r="D39" s="5" t="s">
        <v>29</v>
      </c>
      <c r="E39" s="6" t="s">
        <v>50</v>
      </c>
      <c r="F39" s="7" t="s">
        <v>11</v>
      </c>
      <c r="G39" s="7">
        <v>20.0</v>
      </c>
      <c r="H39" s="7" t="s">
        <v>12</v>
      </c>
    </row>
    <row r="40">
      <c r="A40" s="5" t="s">
        <v>32</v>
      </c>
      <c r="B40" s="5">
        <f t="shared" si="14"/>
        <v>55.0</v>
      </c>
      <c r="C40" s="5">
        <f t="shared" si="1"/>
        <v>50.0</v>
      </c>
      <c r="D40" s="5" t="s">
        <v>29</v>
      </c>
      <c r="E40" s="6" t="s">
        <v>50</v>
      </c>
      <c r="F40" s="7" t="s">
        <v>11</v>
      </c>
      <c r="G40" s="7">
        <v>20.0</v>
      </c>
      <c r="H40" s="7" t="s">
        <v>12</v>
      </c>
    </row>
    <row r="41">
      <c r="A41" s="5" t="s">
        <v>52</v>
      </c>
      <c r="B41" s="5">
        <f t="shared" ref="B41:B44" si="15">60*1.1</f>
        <v>66.0</v>
      </c>
      <c r="C41" s="5">
        <f t="shared" si="1"/>
        <v>60.0</v>
      </c>
      <c r="D41" s="5" t="s">
        <v>29</v>
      </c>
      <c r="E41" s="6" t="s">
        <v>50</v>
      </c>
      <c r="F41" s="7" t="s">
        <v>11</v>
      </c>
      <c r="G41" s="7">
        <v>20.0</v>
      </c>
      <c r="H41" s="7" t="s">
        <v>12</v>
      </c>
    </row>
    <row r="42">
      <c r="A42" s="5" t="s">
        <v>53</v>
      </c>
      <c r="B42" s="5">
        <f t="shared" si="15"/>
        <v>66.0</v>
      </c>
      <c r="C42" s="5">
        <f t="shared" si="1"/>
        <v>60.0</v>
      </c>
      <c r="D42" s="5" t="s">
        <v>29</v>
      </c>
      <c r="E42" s="6" t="s">
        <v>50</v>
      </c>
      <c r="F42" s="7" t="s">
        <v>11</v>
      </c>
      <c r="G42" s="7">
        <v>20.0</v>
      </c>
      <c r="H42" s="7" t="s">
        <v>12</v>
      </c>
    </row>
    <row r="43">
      <c r="A43" s="5" t="s">
        <v>54</v>
      </c>
      <c r="B43" s="5">
        <f t="shared" si="15"/>
        <v>66.0</v>
      </c>
      <c r="C43" s="5">
        <f t="shared" si="1"/>
        <v>60.0</v>
      </c>
      <c r="D43" s="5" t="s">
        <v>29</v>
      </c>
      <c r="E43" s="6" t="s">
        <v>50</v>
      </c>
      <c r="F43" s="7" t="s">
        <v>11</v>
      </c>
      <c r="G43" s="7">
        <v>20.0</v>
      </c>
      <c r="H43" s="7" t="s">
        <v>12</v>
      </c>
    </row>
    <row r="44">
      <c r="A44" s="5" t="s">
        <v>33</v>
      </c>
      <c r="B44" s="5">
        <f t="shared" si="15"/>
        <v>66.0</v>
      </c>
      <c r="C44" s="5">
        <f t="shared" si="1"/>
        <v>60.0</v>
      </c>
      <c r="D44" s="5" t="s">
        <v>29</v>
      </c>
      <c r="E44" s="6" t="s">
        <v>50</v>
      </c>
      <c r="F44" s="7" t="s">
        <v>11</v>
      </c>
      <c r="G44" s="7">
        <v>20.0</v>
      </c>
      <c r="H44" s="7" t="s">
        <v>12</v>
      </c>
    </row>
    <row r="45">
      <c r="A45" s="5" t="s">
        <v>55</v>
      </c>
      <c r="B45" s="5">
        <f t="shared" ref="B45:B51" si="16">70*1.1</f>
        <v>77.0</v>
      </c>
      <c r="C45" s="5">
        <f t="shared" si="1"/>
        <v>70.0</v>
      </c>
      <c r="D45" s="5" t="s">
        <v>29</v>
      </c>
      <c r="E45" s="6" t="s">
        <v>50</v>
      </c>
      <c r="F45" s="7" t="s">
        <v>11</v>
      </c>
      <c r="G45" s="7">
        <v>20.0</v>
      </c>
      <c r="H45" s="7" t="s">
        <v>12</v>
      </c>
    </row>
    <row r="46">
      <c r="A46" s="5" t="s">
        <v>56</v>
      </c>
      <c r="B46" s="5">
        <f t="shared" si="16"/>
        <v>77.0</v>
      </c>
      <c r="C46" s="5">
        <f t="shared" si="1"/>
        <v>70.0</v>
      </c>
      <c r="D46" s="5" t="s">
        <v>29</v>
      </c>
      <c r="E46" s="6" t="s">
        <v>50</v>
      </c>
      <c r="F46" s="7" t="s">
        <v>11</v>
      </c>
      <c r="G46" s="7">
        <v>20.0</v>
      </c>
      <c r="H46" s="7" t="s">
        <v>12</v>
      </c>
    </row>
    <row r="47">
      <c r="A47" s="5" t="s">
        <v>57</v>
      </c>
      <c r="B47" s="5">
        <f t="shared" si="16"/>
        <v>77.0</v>
      </c>
      <c r="C47" s="5">
        <f t="shared" si="1"/>
        <v>70.0</v>
      </c>
      <c r="D47" s="5" t="s">
        <v>29</v>
      </c>
      <c r="E47" s="6" t="s">
        <v>50</v>
      </c>
      <c r="F47" s="7" t="s">
        <v>11</v>
      </c>
      <c r="G47" s="7">
        <v>20.0</v>
      </c>
      <c r="H47" s="7" t="s">
        <v>12</v>
      </c>
    </row>
    <row r="48">
      <c r="A48" s="5" t="s">
        <v>36</v>
      </c>
      <c r="B48" s="5">
        <f t="shared" si="16"/>
        <v>77.0</v>
      </c>
      <c r="C48" s="5">
        <f t="shared" si="1"/>
        <v>70.0</v>
      </c>
      <c r="D48" s="5" t="s">
        <v>29</v>
      </c>
      <c r="E48" s="6" t="s">
        <v>50</v>
      </c>
      <c r="F48" s="7" t="s">
        <v>11</v>
      </c>
      <c r="G48" s="7">
        <v>20.0</v>
      </c>
      <c r="H48" s="7" t="s">
        <v>12</v>
      </c>
    </row>
    <row r="49">
      <c r="A49" s="5" t="s">
        <v>34</v>
      </c>
      <c r="B49" s="5">
        <f t="shared" si="16"/>
        <v>77.0</v>
      </c>
      <c r="C49" s="5">
        <f t="shared" si="1"/>
        <v>70.0</v>
      </c>
      <c r="D49" s="5" t="s">
        <v>29</v>
      </c>
      <c r="E49" s="6" t="s">
        <v>50</v>
      </c>
      <c r="F49" s="7" t="s">
        <v>11</v>
      </c>
      <c r="G49" s="7">
        <v>20.0</v>
      </c>
      <c r="H49" s="7" t="s">
        <v>12</v>
      </c>
    </row>
    <row r="50">
      <c r="A50" s="5" t="s">
        <v>58</v>
      </c>
      <c r="B50" s="5">
        <f t="shared" si="16"/>
        <v>77.0</v>
      </c>
      <c r="C50" s="5">
        <f t="shared" si="1"/>
        <v>70.0</v>
      </c>
      <c r="D50" s="5" t="s">
        <v>29</v>
      </c>
      <c r="E50" s="6" t="s">
        <v>50</v>
      </c>
      <c r="F50" s="7" t="s">
        <v>11</v>
      </c>
      <c r="G50" s="7">
        <v>20.0</v>
      </c>
      <c r="H50" s="7" t="s">
        <v>12</v>
      </c>
    </row>
    <row r="51">
      <c r="A51" s="5" t="s">
        <v>59</v>
      </c>
      <c r="B51" s="5">
        <f t="shared" si="16"/>
        <v>77.0</v>
      </c>
      <c r="C51" s="5">
        <f t="shared" si="1"/>
        <v>70.0</v>
      </c>
      <c r="D51" s="5" t="s">
        <v>29</v>
      </c>
      <c r="E51" s="6" t="s">
        <v>50</v>
      </c>
      <c r="F51" s="7" t="s">
        <v>11</v>
      </c>
      <c r="G51" s="7">
        <v>20.0</v>
      </c>
      <c r="H51" s="7" t="s">
        <v>12</v>
      </c>
    </row>
    <row r="52">
      <c r="A52" s="5" t="s">
        <v>60</v>
      </c>
      <c r="B52" s="5">
        <f t="shared" ref="B52:B55" si="17">80*1.1</f>
        <v>88.0</v>
      </c>
      <c r="C52" s="5">
        <f t="shared" si="1"/>
        <v>80.0</v>
      </c>
      <c r="D52" s="5" t="s">
        <v>29</v>
      </c>
      <c r="E52" s="6" t="s">
        <v>50</v>
      </c>
      <c r="F52" s="7" t="s">
        <v>11</v>
      </c>
      <c r="G52" s="7">
        <v>20.0</v>
      </c>
      <c r="H52" s="7" t="s">
        <v>12</v>
      </c>
    </row>
    <row r="53">
      <c r="A53" s="5" t="s">
        <v>61</v>
      </c>
      <c r="B53" s="5">
        <f t="shared" si="17"/>
        <v>88.0</v>
      </c>
      <c r="C53" s="5">
        <f t="shared" si="1"/>
        <v>80.0</v>
      </c>
      <c r="D53" s="5" t="s">
        <v>29</v>
      </c>
      <c r="E53" s="6" t="s">
        <v>50</v>
      </c>
      <c r="F53" s="7" t="s">
        <v>11</v>
      </c>
      <c r="G53" s="7">
        <v>20.0</v>
      </c>
      <c r="H53" s="7" t="s">
        <v>12</v>
      </c>
    </row>
    <row r="54">
      <c r="A54" s="5" t="s">
        <v>35</v>
      </c>
      <c r="B54" s="5">
        <f t="shared" si="17"/>
        <v>88.0</v>
      </c>
      <c r="C54" s="5">
        <f t="shared" si="1"/>
        <v>80.0</v>
      </c>
      <c r="D54" s="5" t="s">
        <v>29</v>
      </c>
      <c r="E54" s="6" t="s">
        <v>50</v>
      </c>
      <c r="F54" s="7" t="s">
        <v>11</v>
      </c>
      <c r="G54" s="7">
        <v>20.0</v>
      </c>
      <c r="H54" s="7" t="s">
        <v>12</v>
      </c>
    </row>
    <row r="55">
      <c r="A55" s="5" t="s">
        <v>43</v>
      </c>
      <c r="B55" s="5">
        <f t="shared" si="17"/>
        <v>88.0</v>
      </c>
      <c r="C55" s="5">
        <f t="shared" si="1"/>
        <v>80.0</v>
      </c>
      <c r="D55" s="5" t="s">
        <v>29</v>
      </c>
      <c r="E55" s="6" t="s">
        <v>50</v>
      </c>
      <c r="F55" s="7" t="s">
        <v>11</v>
      </c>
      <c r="G55" s="7">
        <v>20.0</v>
      </c>
      <c r="H55" s="7" t="s">
        <v>12</v>
      </c>
    </row>
    <row r="56">
      <c r="A56" s="5" t="s">
        <v>62</v>
      </c>
      <c r="B56" s="5">
        <f t="shared" ref="B56:B62" si="18">90*1.1</f>
        <v>99.0</v>
      </c>
      <c r="C56" s="5">
        <f t="shared" si="1"/>
        <v>90.0</v>
      </c>
      <c r="D56" s="5" t="s">
        <v>29</v>
      </c>
      <c r="E56" s="6" t="s">
        <v>50</v>
      </c>
      <c r="F56" s="7" t="s">
        <v>11</v>
      </c>
      <c r="G56" s="7">
        <v>20.0</v>
      </c>
      <c r="H56" s="7" t="s">
        <v>12</v>
      </c>
    </row>
    <row r="57">
      <c r="A57" s="5" t="s">
        <v>63</v>
      </c>
      <c r="B57" s="5">
        <f t="shared" si="18"/>
        <v>99.0</v>
      </c>
      <c r="C57" s="5">
        <f t="shared" si="1"/>
        <v>90.0</v>
      </c>
      <c r="D57" s="5" t="s">
        <v>29</v>
      </c>
      <c r="E57" s="6" t="s">
        <v>50</v>
      </c>
      <c r="F57" s="7" t="s">
        <v>11</v>
      </c>
      <c r="G57" s="7">
        <v>20.0</v>
      </c>
      <c r="H57" s="7" t="s">
        <v>12</v>
      </c>
    </row>
    <row r="58">
      <c r="A58" s="5" t="s">
        <v>64</v>
      </c>
      <c r="B58" s="5">
        <f t="shared" si="18"/>
        <v>99.0</v>
      </c>
      <c r="C58" s="5">
        <f t="shared" si="1"/>
        <v>90.0</v>
      </c>
      <c r="D58" s="5" t="s">
        <v>29</v>
      </c>
      <c r="E58" s="6" t="s">
        <v>50</v>
      </c>
      <c r="F58" s="7" t="s">
        <v>11</v>
      </c>
      <c r="G58" s="7">
        <v>20.0</v>
      </c>
      <c r="H58" s="7" t="s">
        <v>12</v>
      </c>
    </row>
    <row r="59">
      <c r="A59" s="5" t="s">
        <v>65</v>
      </c>
      <c r="B59" s="5">
        <f t="shared" si="18"/>
        <v>99.0</v>
      </c>
      <c r="C59" s="5">
        <f t="shared" si="1"/>
        <v>90.0</v>
      </c>
      <c r="D59" s="5" t="s">
        <v>29</v>
      </c>
      <c r="E59" s="6" t="s">
        <v>50</v>
      </c>
      <c r="F59" s="7" t="s">
        <v>11</v>
      </c>
      <c r="G59" s="7">
        <v>20.0</v>
      </c>
      <c r="H59" s="7" t="s">
        <v>12</v>
      </c>
    </row>
    <row r="60">
      <c r="A60" s="5" t="s">
        <v>66</v>
      </c>
      <c r="B60" s="5">
        <f t="shared" si="18"/>
        <v>99.0</v>
      </c>
      <c r="C60" s="5">
        <f t="shared" si="1"/>
        <v>90.0</v>
      </c>
      <c r="D60" s="5" t="s">
        <v>29</v>
      </c>
      <c r="E60" s="6" t="s">
        <v>50</v>
      </c>
      <c r="F60" s="7" t="s">
        <v>11</v>
      </c>
      <c r="G60" s="7">
        <v>20.0</v>
      </c>
      <c r="H60" s="7" t="s">
        <v>12</v>
      </c>
    </row>
    <row r="61">
      <c r="A61" s="5" t="s">
        <v>45</v>
      </c>
      <c r="B61" s="5">
        <f t="shared" si="18"/>
        <v>99.0</v>
      </c>
      <c r="C61" s="5">
        <f t="shared" si="1"/>
        <v>90.0</v>
      </c>
      <c r="D61" s="5" t="s">
        <v>29</v>
      </c>
      <c r="E61" s="6" t="s">
        <v>50</v>
      </c>
      <c r="F61" s="7" t="s">
        <v>11</v>
      </c>
      <c r="G61" s="7">
        <v>20.0</v>
      </c>
      <c r="H61" s="7" t="s">
        <v>12</v>
      </c>
    </row>
    <row r="62">
      <c r="A62" s="5" t="s">
        <v>46</v>
      </c>
      <c r="B62" s="5">
        <f t="shared" si="18"/>
        <v>99.0</v>
      </c>
      <c r="C62" s="5">
        <f t="shared" si="1"/>
        <v>90.0</v>
      </c>
      <c r="D62" s="5" t="s">
        <v>29</v>
      </c>
      <c r="E62" s="6" t="s">
        <v>50</v>
      </c>
      <c r="F62" s="7" t="s">
        <v>11</v>
      </c>
      <c r="G62" s="7">
        <v>20.0</v>
      </c>
      <c r="H62" s="7" t="s">
        <v>12</v>
      </c>
    </row>
    <row r="63">
      <c r="A63" s="5" t="s">
        <v>67</v>
      </c>
      <c r="B63" s="5">
        <f>110*1.1</f>
        <v>121.0</v>
      </c>
      <c r="C63" s="5">
        <f t="shared" si="1"/>
        <v>110.0</v>
      </c>
      <c r="D63" s="5" t="s">
        <v>68</v>
      </c>
      <c r="E63" s="6" t="s">
        <v>50</v>
      </c>
      <c r="F63" s="7" t="s">
        <v>69</v>
      </c>
      <c r="G63" s="7">
        <v>20.0</v>
      </c>
      <c r="H63" s="7" t="s">
        <v>12</v>
      </c>
    </row>
    <row r="64">
      <c r="A64" s="5" t="s">
        <v>70</v>
      </c>
      <c r="B64" s="5">
        <f>120*1.1</f>
        <v>132.0</v>
      </c>
      <c r="C64" s="5">
        <f t="shared" si="1"/>
        <v>120.0</v>
      </c>
      <c r="D64" s="5" t="s">
        <v>68</v>
      </c>
      <c r="E64" s="6" t="s">
        <v>50</v>
      </c>
      <c r="F64" s="7" t="s">
        <v>69</v>
      </c>
      <c r="G64" s="7">
        <v>20.0</v>
      </c>
      <c r="H64" s="7" t="s">
        <v>12</v>
      </c>
    </row>
    <row r="65">
      <c r="A65" s="8" t="s">
        <v>71</v>
      </c>
      <c r="B65" s="8">
        <f>200*1.1</f>
        <v>220.0</v>
      </c>
      <c r="C65" s="8">
        <f t="shared" si="1"/>
        <v>200.0</v>
      </c>
      <c r="D65" s="8" t="s">
        <v>29</v>
      </c>
      <c r="E65" s="9" t="s">
        <v>50</v>
      </c>
      <c r="F65" s="7" t="s">
        <v>69</v>
      </c>
      <c r="G65" s="7">
        <v>20.0</v>
      </c>
      <c r="H65" s="7" t="s">
        <v>12</v>
      </c>
    </row>
    <row r="66">
      <c r="A66" s="10" t="s">
        <v>72</v>
      </c>
      <c r="B66" s="11">
        <v>70.0</v>
      </c>
      <c r="C66" s="11">
        <v>45.3044588744588</v>
      </c>
      <c r="D66" s="7" t="s">
        <v>73</v>
      </c>
      <c r="E66" s="12" t="s">
        <v>74</v>
      </c>
      <c r="F66" s="7" t="s">
        <v>69</v>
      </c>
      <c r="G66" s="7">
        <v>20.0</v>
      </c>
      <c r="H66" s="7" t="s">
        <v>75</v>
      </c>
    </row>
    <row r="67">
      <c r="A67" s="10" t="s">
        <v>76</v>
      </c>
      <c r="B67" s="11">
        <v>90.0</v>
      </c>
      <c r="C67" s="11">
        <v>61.7489588744586</v>
      </c>
      <c r="D67" s="7" t="s">
        <v>73</v>
      </c>
      <c r="E67" s="12" t="s">
        <v>74</v>
      </c>
      <c r="F67" s="7" t="s">
        <v>69</v>
      </c>
      <c r="G67" s="7">
        <v>20.0</v>
      </c>
      <c r="H67" s="7" t="s">
        <v>75</v>
      </c>
    </row>
    <row r="68">
      <c r="A68" s="10" t="s">
        <v>77</v>
      </c>
      <c r="B68" s="11">
        <v>90.0</v>
      </c>
      <c r="C68" s="11">
        <v>61.8344588744586</v>
      </c>
      <c r="D68" s="7" t="s">
        <v>73</v>
      </c>
      <c r="E68" s="12" t="s">
        <v>74</v>
      </c>
      <c r="F68" s="7" t="s">
        <v>69</v>
      </c>
      <c r="G68" s="7">
        <v>20.0</v>
      </c>
      <c r="H68" s="7" t="s">
        <v>75</v>
      </c>
    </row>
    <row r="69">
      <c r="A69" s="10" t="s">
        <v>78</v>
      </c>
      <c r="B69" s="13">
        <v>90.0</v>
      </c>
      <c r="C69" s="13">
        <v>75.368196078426</v>
      </c>
      <c r="D69" s="7" t="s">
        <v>73</v>
      </c>
      <c r="E69" s="12" t="s">
        <v>74</v>
      </c>
      <c r="F69" s="7" t="s">
        <v>69</v>
      </c>
      <c r="G69" s="7">
        <v>20.0</v>
      </c>
      <c r="H69" s="7" t="s">
        <v>75</v>
      </c>
    </row>
    <row r="70">
      <c r="A70" s="10" t="s">
        <v>79</v>
      </c>
      <c r="B70" s="13">
        <v>90.0</v>
      </c>
      <c r="C70" s="13">
        <v>63.1723508771928</v>
      </c>
      <c r="D70" s="7" t="s">
        <v>73</v>
      </c>
      <c r="E70" s="12" t="s">
        <v>74</v>
      </c>
      <c r="F70" s="7" t="s">
        <v>69</v>
      </c>
      <c r="G70" s="7">
        <v>20.0</v>
      </c>
      <c r="H70" s="7" t="s">
        <v>75</v>
      </c>
    </row>
    <row r="71">
      <c r="A71" s="10" t="s">
        <v>80</v>
      </c>
      <c r="B71" s="11">
        <v>90.0</v>
      </c>
      <c r="C71" s="11">
        <v>53.71107372549</v>
      </c>
      <c r="D71" s="7" t="s">
        <v>73</v>
      </c>
      <c r="E71" s="12" t="s">
        <v>74</v>
      </c>
      <c r="F71" s="7" t="s">
        <v>69</v>
      </c>
      <c r="G71" s="7">
        <v>20.0</v>
      </c>
      <c r="H71" s="7" t="s">
        <v>75</v>
      </c>
    </row>
    <row r="72" ht="27.0">
      <c r="A72" s="14" t="s">
        <v>81</v>
      </c>
      <c r="B72" s="11">
        <v>100.0</v>
      </c>
      <c r="C72" s="11">
        <v>59.9710988744588</v>
      </c>
      <c r="D72" s="7" t="s">
        <v>73</v>
      </c>
      <c r="E72" s="12" t="s">
        <v>74</v>
      </c>
      <c r="F72" s="7" t="s">
        <v>69</v>
      </c>
      <c r="G72" s="7">
        <v>20.0</v>
      </c>
      <c r="H72" s="7" t="s">
        <v>12</v>
      </c>
    </row>
    <row r="73">
      <c r="A73" s="7" t="s">
        <v>82</v>
      </c>
      <c r="B73" s="11">
        <v>50.0</v>
      </c>
      <c r="C73" s="11">
        <v>39.3</v>
      </c>
      <c r="D73" s="7" t="s">
        <v>7</v>
      </c>
      <c r="E73" s="12" t="s">
        <v>74</v>
      </c>
      <c r="F73" s="7" t="s">
        <v>69</v>
      </c>
      <c r="G73" s="7">
        <v>20.0</v>
      </c>
      <c r="H73" s="7" t="s">
        <v>12</v>
      </c>
    </row>
    <row r="74">
      <c r="A74" s="7" t="s">
        <v>83</v>
      </c>
      <c r="B74" s="7">
        <v>120.0</v>
      </c>
      <c r="C74" s="7">
        <v>120.0</v>
      </c>
      <c r="D74" s="7" t="s">
        <v>73</v>
      </c>
      <c r="E74" s="12" t="s">
        <v>74</v>
      </c>
      <c r="F74" s="7" t="s">
        <v>69</v>
      </c>
      <c r="G74" s="7">
        <v>20.0</v>
      </c>
      <c r="H74" s="7" t="s">
        <v>75</v>
      </c>
    </row>
    <row r="75">
      <c r="A75" s="7" t="s">
        <v>84</v>
      </c>
      <c r="B75" s="11">
        <v>35.0</v>
      </c>
      <c r="C75" s="11">
        <v>30.0</v>
      </c>
      <c r="D75" s="7" t="s">
        <v>73</v>
      </c>
      <c r="E75" s="12" t="s">
        <v>74</v>
      </c>
      <c r="F75" s="7" t="s">
        <v>69</v>
      </c>
      <c r="G75" s="7">
        <v>20.0</v>
      </c>
      <c r="H75" s="7" t="s">
        <v>12</v>
      </c>
    </row>
    <row r="76">
      <c r="A76" s="7" t="s">
        <v>85</v>
      </c>
      <c r="B76" s="11">
        <v>45.0</v>
      </c>
      <c r="C76" s="11">
        <v>36.0</v>
      </c>
      <c r="D76" s="7" t="s">
        <v>73</v>
      </c>
      <c r="E76" s="12" t="s">
        <v>74</v>
      </c>
      <c r="F76" s="7" t="s">
        <v>69</v>
      </c>
      <c r="G76" s="7">
        <v>20.0</v>
      </c>
      <c r="H76" s="7" t="s">
        <v>12</v>
      </c>
    </row>
    <row r="77">
      <c r="A77" s="7" t="s">
        <v>86</v>
      </c>
      <c r="B77" s="11">
        <v>45.0</v>
      </c>
      <c r="C77" s="11">
        <v>30.0</v>
      </c>
      <c r="D77" s="7" t="s">
        <v>73</v>
      </c>
      <c r="E77" s="12" t="s">
        <v>74</v>
      </c>
      <c r="F77" s="7" t="s">
        <v>69</v>
      </c>
      <c r="G77" s="7">
        <v>20.0</v>
      </c>
      <c r="H77" s="7" t="s">
        <v>12</v>
      </c>
    </row>
    <row r="78">
      <c r="A78" s="7" t="s">
        <v>87</v>
      </c>
      <c r="B78" s="11">
        <v>45.0</v>
      </c>
      <c r="C78" s="11">
        <v>30.0</v>
      </c>
      <c r="D78" s="7" t="s">
        <v>73</v>
      </c>
      <c r="E78" s="12" t="s">
        <v>74</v>
      </c>
      <c r="F78" s="7" t="s">
        <v>69</v>
      </c>
      <c r="G78" s="7">
        <v>20.0</v>
      </c>
      <c r="H78" s="7" t="s">
        <v>12</v>
      </c>
    </row>
    <row r="79">
      <c r="A79" s="15" t="s">
        <v>88</v>
      </c>
      <c r="B79" s="16">
        <v>75.0</v>
      </c>
      <c r="C79" s="16">
        <v>55.0</v>
      </c>
      <c r="D79" s="15" t="s">
        <v>73</v>
      </c>
      <c r="E79" s="17" t="s">
        <v>74</v>
      </c>
      <c r="F79" s="7" t="s">
        <v>69</v>
      </c>
      <c r="G79" s="7">
        <v>20.0</v>
      </c>
      <c r="H79" s="7" t="s">
        <v>12</v>
      </c>
    </row>
    <row r="80">
      <c r="A80" s="7" t="s">
        <v>89</v>
      </c>
      <c r="B80" s="7">
        <v>10.0</v>
      </c>
      <c r="C80" s="7">
        <v>10.0</v>
      </c>
      <c r="D80" s="7" t="s">
        <v>90</v>
      </c>
      <c r="E80" s="12" t="s">
        <v>91</v>
      </c>
      <c r="F80" s="7" t="s">
        <v>69</v>
      </c>
      <c r="G80" s="7">
        <v>20.0</v>
      </c>
      <c r="H80" s="7" t="s">
        <v>12</v>
      </c>
    </row>
    <row r="81">
      <c r="A81" s="7" t="s">
        <v>92</v>
      </c>
      <c r="B81" s="7">
        <v>10.0</v>
      </c>
      <c r="C81" s="7">
        <v>10.0</v>
      </c>
      <c r="D81" s="7" t="s">
        <v>90</v>
      </c>
      <c r="E81" s="12" t="s">
        <v>91</v>
      </c>
      <c r="F81" s="7" t="s">
        <v>69</v>
      </c>
      <c r="G81" s="7">
        <v>20.0</v>
      </c>
      <c r="H81" s="7" t="s">
        <v>12</v>
      </c>
    </row>
    <row r="82">
      <c r="A82" s="7" t="s">
        <v>93</v>
      </c>
      <c r="B82" s="7">
        <v>10.0</v>
      </c>
      <c r="C82" s="7">
        <v>10.0</v>
      </c>
      <c r="D82" s="7" t="s">
        <v>90</v>
      </c>
      <c r="E82" s="12" t="s">
        <v>91</v>
      </c>
      <c r="F82" s="7" t="s">
        <v>69</v>
      </c>
      <c r="G82" s="7">
        <v>20.0</v>
      </c>
      <c r="H82" s="7" t="s">
        <v>12</v>
      </c>
    </row>
    <row r="83">
      <c r="A83" s="7" t="s">
        <v>94</v>
      </c>
      <c r="B83" s="7">
        <v>10.0</v>
      </c>
      <c r="C83" s="7">
        <v>10.0</v>
      </c>
      <c r="D83" s="7" t="s">
        <v>90</v>
      </c>
      <c r="E83" s="12" t="s">
        <v>91</v>
      </c>
      <c r="F83" s="7" t="s">
        <v>69</v>
      </c>
      <c r="G83" s="7">
        <v>20.0</v>
      </c>
      <c r="H83" s="7" t="s">
        <v>12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>
  <dimension ref="A1:E45"/>
  <sheetViews>
    <sheetView workbookViewId="0"/>
  </sheetViews>
  <sheetFormatPr defaultRowHeight="14.0" customHeight="1"/>
  <cols>
    <col min="1" max="1" width="34.44"/>
    <col min="2" max="2048" width="13.24"/>
  </cols>
  <sheetData>
    <row r="1">
      <c r="B1" t="s">
        <v>95</v>
      </c>
      <c r="C1" t="s">
        <v>96</v>
      </c>
      <c r="D1" t="s">
        <v>97</v>
      </c>
      <c r="E1" t="s">
        <v>98</v>
      </c>
    </row>
    <row r="2">
      <c r="A2" t="s">
        <v>99</v>
      </c>
    </row>
    <row r="3">
      <c r="A3" t="s">
        <v>100</v>
      </c>
      <c r="B3" t="s">
        <v>101</v>
      </c>
    </row>
    <row r="4">
      <c r="A4" t="s">
        <v>102</v>
      </c>
      <c r="B4" t="s">
        <v>101</v>
      </c>
    </row>
    <row r="5">
      <c r="A5" t="s">
        <v>103</v>
      </c>
      <c r="B5" t="s">
        <v>101</v>
      </c>
    </row>
    <row r="6">
      <c r="A6" t="s">
        <v>104</v>
      </c>
      <c r="B6" t="s">
        <v>101</v>
      </c>
    </row>
    <row r="7">
      <c r="A7" t="s">
        <v>105</v>
      </c>
      <c r="B7" t="s">
        <v>101</v>
      </c>
    </row>
    <row r="8">
      <c r="A8" t="s">
        <v>106</v>
      </c>
      <c r="B8" t="s">
        <v>101</v>
      </c>
    </row>
    <row r="9">
      <c r="A9" t="s">
        <v>107</v>
      </c>
      <c r="B9" t="s">
        <v>101</v>
      </c>
    </row>
    <row r="10">
      <c r="A10" t="s">
        <v>108</v>
      </c>
      <c r="B10" t="s">
        <v>101</v>
      </c>
    </row>
    <row r="11">
      <c r="A11" t="s">
        <v>109</v>
      </c>
      <c r="B11" t="s">
        <v>101</v>
      </c>
      <c r="C11">
        <v>5.0</v>
      </c>
      <c r="D11">
        <v>5.0</v>
      </c>
      <c r="E11">
        <v>1.0</v>
      </c>
    </row>
    <row r="12">
      <c r="A12" t="s">
        <v>110</v>
      </c>
      <c r="B12" t="s">
        <v>101</v>
      </c>
    </row>
    <row r="13">
      <c r="A13" t="s">
        <v>111</v>
      </c>
      <c r="B13" t="s">
        <v>101</v>
      </c>
    </row>
    <row r="14">
      <c r="A14" t="s">
        <v>112</v>
      </c>
      <c r="B14" t="s">
        <v>101</v>
      </c>
    </row>
    <row r="15">
      <c r="A15" s="18" t="s">
        <v>113</v>
      </c>
      <c r="B15" t="s">
        <v>101</v>
      </c>
    </row>
    <row r="16">
      <c r="A16" t="s">
        <v>114</v>
      </c>
      <c r="B16" t="s">
        <v>101</v>
      </c>
    </row>
    <row r="17">
      <c r="A17" t="s">
        <v>115</v>
      </c>
      <c r="B17" t="s">
        <v>101</v>
      </c>
    </row>
    <row r="18">
      <c r="A18" t="s">
        <v>116</v>
      </c>
      <c r="B18" t="s">
        <v>101</v>
      </c>
      <c r="C18">
        <v>3.0</v>
      </c>
      <c r="D18">
        <v>3.0</v>
      </c>
      <c r="E18">
        <v>1.0</v>
      </c>
    </row>
    <row r="19">
      <c r="A19" t="s">
        <v>117</v>
      </c>
      <c r="B19" t="s">
        <v>118</v>
      </c>
    </row>
    <row r="20">
      <c r="A20" t="s">
        <v>119</v>
      </c>
    </row>
    <row r="21">
      <c r="A21" t="s">
        <v>120</v>
      </c>
    </row>
    <row r="22">
      <c r="A22" t="s">
        <v>121</v>
      </c>
    </row>
    <row r="23">
      <c r="A23" t="s">
        <v>122</v>
      </c>
    </row>
    <row r="24">
      <c r="A24" t="s">
        <v>123</v>
      </c>
    </row>
    <row r="25">
      <c r="A25" t="s">
        <v>124</v>
      </c>
    </row>
    <row r="26">
      <c r="A26" t="s">
        <v>125</v>
      </c>
    </row>
    <row r="27">
      <c r="A27" t="s">
        <v>126</v>
      </c>
    </row>
    <row r="28">
      <c r="A28" t="s">
        <v>127</v>
      </c>
    </row>
    <row r="29">
      <c r="A29" t="s">
        <v>128</v>
      </c>
    </row>
    <row r="30">
      <c r="A30" t="s">
        <v>129</v>
      </c>
    </row>
    <row r="31">
      <c r="A31" t="s">
        <v>130</v>
      </c>
    </row>
    <row r="32">
      <c r="A32" t="s">
        <v>131</v>
      </c>
    </row>
    <row r="33">
      <c r="A33" t="s">
        <v>132</v>
      </c>
    </row>
    <row r="34">
      <c r="A34" t="s">
        <v>133</v>
      </c>
    </row>
    <row r="35">
      <c r="A35" t="s">
        <v>134</v>
      </c>
    </row>
    <row r="36">
      <c r="A36" t="s">
        <v>135</v>
      </c>
    </row>
    <row r="37">
      <c r="A37" t="s">
        <v>136</v>
      </c>
    </row>
    <row r="38">
      <c r="A38" t="s">
        <v>137</v>
      </c>
    </row>
    <row r="39">
      <c r="A39" t="s">
        <v>138</v>
      </c>
    </row>
    <row r="40">
      <c r="A40" t="s">
        <v>139</v>
      </c>
    </row>
    <row r="41">
      <c r="A41" t="s">
        <v>140</v>
      </c>
    </row>
    <row r="42">
      <c r="A42" t="s">
        <v>141</v>
      </c>
    </row>
    <row r="43">
      <c r="A43" t="s">
        <v>142</v>
      </c>
    </row>
    <row r="44">
      <c r="A44" t="s">
        <v>143</v>
      </c>
    </row>
    <row r="45">
      <c r="A45" t="s">
        <v>144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Zoho Sheet Writer</Application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2026-08-10T16:53:02Z</dcterms:created>
</cp:coreProperties>
</file>